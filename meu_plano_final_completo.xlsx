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930"/>
  </bookViews>
  <sheets>
    <sheet name="Plano" sheetId="1" r:id="rId1"/>
  </sheets>
  <calcPr calcId="144525"/>
</workbook>
</file>

<file path=xl/sharedStrings.xml><?xml version="1.0" encoding="utf-8"?>
<sst xmlns="http://schemas.openxmlformats.org/spreadsheetml/2006/main" count="35" uniqueCount="30">
  <si>
    <t>Item</t>
  </si>
  <si>
    <t>1 trimestre</t>
  </si>
  <si>
    <t>2 trimestre</t>
  </si>
  <si>
    <t>3 trimestre</t>
  </si>
  <si>
    <t>4 trimestre</t>
  </si>
  <si>
    <t>TOTAL</t>
  </si>
  <si>
    <t>Demanda</t>
  </si>
  <si>
    <t>Produção Normal</t>
  </si>
  <si>
    <t>Turno Extra</t>
  </si>
  <si>
    <t>Subcontratação</t>
  </si>
  <si>
    <t>Produção Total</t>
  </si>
  <si>
    <t>Prod - Demanda</t>
  </si>
  <si>
    <t>Estoque Inicial</t>
  </si>
  <si>
    <t>Estoque Final</t>
  </si>
  <si>
    <t>Estoque Médio</t>
  </si>
  <si>
    <t>Atrasos</t>
  </si>
  <si>
    <t>Custos $</t>
  </si>
  <si>
    <t>Normal (R$ 5)</t>
  </si>
  <si>
    <t>Extra (R$ 7.5)</t>
  </si>
  <si>
    <t>Subcontratação (R$ 10)</t>
  </si>
  <si>
    <t>Estoque (R$ 5)</t>
  </si>
  <si>
    <t>Atrasos (R$ 10)</t>
  </si>
  <si>
    <t>TOTAL CUSTOS POR PERÍODO</t>
  </si>
  <si>
    <t>Capacidade necessária por departamento (horas)</t>
  </si>
  <si>
    <t>Departamento</t>
  </si>
  <si>
    <t>Dep 1 (h/un=0.3)</t>
  </si>
  <si>
    <t>Dep 2 (h/un=0.2)</t>
  </si>
  <si>
    <t>Dep 3 (h/un=0.6)</t>
  </si>
  <si>
    <t>Dep 4 (h/un=0.4)</t>
  </si>
  <si>
    <t>Total horas por período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</si>
</sst>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0" fillId="25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2" borderId="6" applyNumberFormat="0" applyFont="0" applyAlignment="0" applyProtection="0">
      <alignment vertical="center"/>
    </xf>
    <xf numFmtId="0" fontId="21" fillId="29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E6" sqref="E6"/>
    </sheetView>
  </sheetViews>
  <sheetFormatPr defaultColWidth="9" defaultRowHeight="15" outlineLevelCol="5"/>
  <cols>
    <col min="1" max="1" width="36" customWidth="1"/>
    <col min="2" max="6" width="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600</v>
      </c>
      <c r="C2">
        <v>1800</v>
      </c>
      <c r="D2">
        <v>1200</v>
      </c>
      <c r="E2">
        <v>1000</v>
      </c>
      <c r="F2">
        <f t="shared" ref="F2:F11" si="0">SUM(B2:E2)</f>
        <v>4600</v>
      </c>
    </row>
    <row r="3" spans="1:6">
      <c r="A3" t="s">
        <v>7</v>
      </c>
      <c r="B3">
        <v>950</v>
      </c>
      <c r="C3">
        <v>950</v>
      </c>
      <c r="D3">
        <v>950</v>
      </c>
      <c r="E3">
        <v>950</v>
      </c>
      <c r="F3">
        <f t="shared" si="0"/>
        <v>3800</v>
      </c>
    </row>
    <row r="4" spans="1:6">
      <c r="A4" t="s">
        <v>8</v>
      </c>
      <c r="B4">
        <v>0</v>
      </c>
      <c r="C4">
        <v>0</v>
      </c>
      <c r="D4">
        <v>250</v>
      </c>
      <c r="E4">
        <v>150</v>
      </c>
      <c r="F4">
        <f t="shared" si="0"/>
        <v>400</v>
      </c>
    </row>
    <row r="5" spans="1:6">
      <c r="A5" t="s">
        <v>9</v>
      </c>
      <c r="B5">
        <v>0</v>
      </c>
      <c r="C5">
        <v>0</v>
      </c>
      <c r="D5">
        <v>0</v>
      </c>
      <c r="E5">
        <v>0</v>
      </c>
      <c r="F5">
        <f t="shared" si="0"/>
        <v>0</v>
      </c>
    </row>
    <row r="6" spans="1:6">
      <c r="A6" t="s">
        <v>10</v>
      </c>
      <c r="B6">
        <v>950</v>
      </c>
      <c r="C6">
        <v>950</v>
      </c>
      <c r="D6">
        <v>1200</v>
      </c>
      <c r="E6">
        <v>1100</v>
      </c>
      <c r="F6">
        <f t="shared" si="0"/>
        <v>4200</v>
      </c>
    </row>
    <row r="7" spans="1:6">
      <c r="A7" t="s">
        <v>11</v>
      </c>
      <c r="B7">
        <v>350</v>
      </c>
      <c r="C7">
        <v>-850</v>
      </c>
      <c r="D7">
        <v>0</v>
      </c>
      <c r="E7">
        <v>100</v>
      </c>
      <c r="F7">
        <f t="shared" si="0"/>
        <v>-400</v>
      </c>
    </row>
    <row r="8" spans="1:5">
      <c r="A8" t="s">
        <v>12</v>
      </c>
      <c r="B8">
        <v>500</v>
      </c>
      <c r="C8">
        <v>850</v>
      </c>
      <c r="D8">
        <v>0</v>
      </c>
      <c r="E8">
        <v>0</v>
      </c>
    </row>
    <row r="9" spans="1:5">
      <c r="A9" t="s">
        <v>13</v>
      </c>
      <c r="B9">
        <v>850</v>
      </c>
      <c r="C9">
        <v>0</v>
      </c>
      <c r="D9">
        <v>0</v>
      </c>
      <c r="E9">
        <v>100</v>
      </c>
    </row>
    <row r="10" spans="1:6">
      <c r="A10" t="s">
        <v>14</v>
      </c>
      <c r="B10">
        <v>675</v>
      </c>
      <c r="C10">
        <v>425</v>
      </c>
      <c r="D10">
        <v>0</v>
      </c>
      <c r="E10">
        <v>50</v>
      </c>
      <c r="F10">
        <f t="shared" si="0"/>
        <v>1150</v>
      </c>
    </row>
    <row r="11" spans="1:6">
      <c r="A11" t="s">
        <v>15</v>
      </c>
      <c r="B11">
        <v>0</v>
      </c>
      <c r="C11">
        <v>0</v>
      </c>
      <c r="D11">
        <v>0</v>
      </c>
      <c r="E11">
        <v>0</v>
      </c>
      <c r="F11">
        <f t="shared" si="0"/>
        <v>0</v>
      </c>
    </row>
    <row r="13" spans="1:1">
      <c r="A13" s="2" t="s">
        <v>16</v>
      </c>
    </row>
    <row r="14" spans="1:6">
      <c r="A14" t="s">
        <v>17</v>
      </c>
      <c r="B14">
        <v>4750</v>
      </c>
      <c r="C14">
        <v>4750</v>
      </c>
      <c r="D14">
        <v>4750</v>
      </c>
      <c r="E14">
        <v>4750</v>
      </c>
      <c r="F14">
        <f t="shared" ref="F14:F19" si="1">SUM(B14:E14)</f>
        <v>19000</v>
      </c>
    </row>
    <row r="15" spans="1:6">
      <c r="A15" t="s">
        <v>18</v>
      </c>
      <c r="B15">
        <v>0</v>
      </c>
      <c r="C15">
        <v>0</v>
      </c>
      <c r="D15">
        <v>1875</v>
      </c>
      <c r="E15">
        <v>1125</v>
      </c>
      <c r="F15">
        <f t="shared" si="1"/>
        <v>3000</v>
      </c>
    </row>
    <row r="16" spans="1:6">
      <c r="A16" t="s">
        <v>19</v>
      </c>
      <c r="B16">
        <v>0</v>
      </c>
      <c r="C16">
        <v>0</v>
      </c>
      <c r="D16">
        <v>0</v>
      </c>
      <c r="E16">
        <v>0</v>
      </c>
      <c r="F16">
        <f t="shared" si="1"/>
        <v>0</v>
      </c>
    </row>
    <row r="17" spans="1:6">
      <c r="A17" t="s">
        <v>20</v>
      </c>
      <c r="B17">
        <v>3375</v>
      </c>
      <c r="C17">
        <v>2125</v>
      </c>
      <c r="D17">
        <v>0</v>
      </c>
      <c r="E17">
        <v>250</v>
      </c>
      <c r="F17">
        <f t="shared" si="1"/>
        <v>5750</v>
      </c>
    </row>
    <row r="18" spans="1:6">
      <c r="A18" t="s">
        <v>21</v>
      </c>
      <c r="B18">
        <v>0</v>
      </c>
      <c r="C18">
        <v>0</v>
      </c>
      <c r="D18">
        <v>0</v>
      </c>
      <c r="E18">
        <v>0</v>
      </c>
      <c r="F18">
        <f t="shared" si="1"/>
        <v>0</v>
      </c>
    </row>
    <row r="19" spans="1:6">
      <c r="A19" s="2" t="s">
        <v>22</v>
      </c>
      <c r="B19">
        <f>SUM(B14:B18)</f>
        <v>8125</v>
      </c>
      <c r="C19">
        <f>SUM(C14:C18)</f>
        <v>6875</v>
      </c>
      <c r="D19">
        <f>SUM(D14:D18)</f>
        <v>6625</v>
      </c>
      <c r="E19">
        <f>SUM(E14:E18)</f>
        <v>6125</v>
      </c>
      <c r="F19">
        <f t="shared" si="1"/>
        <v>27750</v>
      </c>
    </row>
    <row r="21" spans="1:1">
      <c r="A21" s="2" t="s">
        <v>23</v>
      </c>
    </row>
    <row r="22" spans="1:6">
      <c r="A22" s="2" t="s">
        <v>24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</row>
    <row r="23" spans="1:6">
      <c r="A23" t="s">
        <v>25</v>
      </c>
      <c r="B23">
        <v>285</v>
      </c>
      <c r="C23">
        <v>285</v>
      </c>
      <c r="D23">
        <v>360</v>
      </c>
      <c r="E23">
        <v>330</v>
      </c>
      <c r="F23">
        <v>1260</v>
      </c>
    </row>
    <row r="24" spans="1:6">
      <c r="A24" t="s">
        <v>26</v>
      </c>
      <c r="B24">
        <v>190</v>
      </c>
      <c r="C24">
        <v>190</v>
      </c>
      <c r="D24">
        <v>240</v>
      </c>
      <c r="E24">
        <v>220</v>
      </c>
      <c r="F24">
        <v>840</v>
      </c>
    </row>
    <row r="25" spans="1:6">
      <c r="A25" t="s">
        <v>27</v>
      </c>
      <c r="B25">
        <v>570</v>
      </c>
      <c r="C25">
        <v>570</v>
      </c>
      <c r="D25">
        <v>720</v>
      </c>
      <c r="E25">
        <v>660</v>
      </c>
      <c r="F25">
        <v>2520</v>
      </c>
    </row>
    <row r="26" spans="1:6">
      <c r="A26" t="s">
        <v>28</v>
      </c>
      <c r="B26">
        <v>380</v>
      </c>
      <c r="C26">
        <v>380</v>
      </c>
      <c r="D26">
        <v>480</v>
      </c>
      <c r="E26">
        <v>440</v>
      </c>
      <c r="F26">
        <v>1680</v>
      </c>
    </row>
    <row r="27" spans="1:6">
      <c r="A27" s="2" t="s">
        <v>29</v>
      </c>
      <c r="B27">
        <f>SUM(B23:B26)</f>
        <v>1425</v>
      </c>
      <c r="C27">
        <f>SUM(C23:C26)</f>
        <v>1425</v>
      </c>
      <c r="D27">
        <f>SUM(D23:D26)</f>
        <v>1800</v>
      </c>
      <c r="E27">
        <f>SUM(E23:E26)</f>
        <v>1650</v>
      </c>
      <c r="F27">
        <f>SUM(B27:E27)</f>
        <v>6300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vitortavares</cp:lastModifiedBy>
  <dcterms:created xsi:type="dcterms:W3CDTF">2025-11-17T23:48:00Z</dcterms:created>
  <dcterms:modified xsi:type="dcterms:W3CDTF">2025-11-18T09:20:56Z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